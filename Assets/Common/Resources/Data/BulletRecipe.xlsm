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rray" sheetId="1" r:id="rId1"/>
  </sheets>
  <externalReferences>
    <externalReference r:id="rId2"/>
  </externalReferences>
  <calcPr calcId="152511"/>
</workbook>
</file>

<file path=xl/calcChain.xml><?xml version="1.0" encoding="utf-8"?>
<calcChain xmlns="http://schemas.openxmlformats.org/spreadsheetml/2006/main">
  <c r="E2" i="1" l="1"/>
  <c r="F1" i="1" l="1"/>
  <c r="G1" i="1"/>
  <c r="H1" i="1"/>
  <c r="E1" i="1"/>
  <c r="E3" i="1" l="1"/>
  <c r="E7" i="1"/>
  <c r="E11" i="1"/>
  <c r="G7" i="1"/>
  <c r="H6" i="1"/>
  <c r="F3" i="1"/>
  <c r="F7" i="1"/>
  <c r="F11" i="1"/>
  <c r="G8" i="1"/>
  <c r="H5" i="1"/>
  <c r="H2" i="1"/>
  <c r="G6" i="1"/>
  <c r="G5" i="1"/>
  <c r="E4" i="1"/>
  <c r="E8" i="1"/>
  <c r="E12" i="1"/>
  <c r="G9" i="1"/>
  <c r="H8" i="1"/>
  <c r="F4" i="1"/>
  <c r="F8" i="1"/>
  <c r="F12" i="1"/>
  <c r="G10" i="1"/>
  <c r="H7" i="1"/>
  <c r="G2" i="1"/>
  <c r="F2" i="1"/>
  <c r="E10" i="1"/>
  <c r="H3" i="1"/>
  <c r="F10" i="1"/>
  <c r="H12" i="1"/>
  <c r="E5" i="1"/>
  <c r="E9" i="1"/>
  <c r="G4" i="1"/>
  <c r="G11" i="1"/>
  <c r="H10" i="1"/>
  <c r="F5" i="1"/>
  <c r="F9" i="1"/>
  <c r="G3" i="1"/>
  <c r="G12" i="1"/>
  <c r="H9" i="1"/>
  <c r="E6" i="1"/>
  <c r="H11" i="1"/>
  <c r="F6" i="1"/>
  <c r="H4" i="1"/>
</calcChain>
</file>

<file path=xl/sharedStrings.xml><?xml version="1.0" encoding="utf-8"?>
<sst xmlns="http://schemas.openxmlformats.org/spreadsheetml/2006/main" count="4" uniqueCount="4">
  <si>
    <t>bulletID</t>
    <phoneticPr fontId="1"/>
  </si>
  <si>
    <t>generateNum</t>
    <phoneticPr fontId="1"/>
  </si>
  <si>
    <t>cost</t>
    <phoneticPr fontId="1"/>
  </si>
  <si>
    <t>none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</si>
</sst>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_Users\Documents\UnityProject\Fortress\Assets\Common\Resources\Data\BulletInf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ray"/>
    </sheetNames>
    <sheetDataSet>
      <sheetData sheetId="0">
        <row r="1">
          <cell r="B1" t="str">
            <v>""Name</v>
          </cell>
          <cell r="C1" t="str">
            <v>Power</v>
          </cell>
          <cell r="D1" t="str">
            <v>Speed</v>
          </cell>
          <cell r="E1" t="str">
            <v>Endurance</v>
          </cell>
        </row>
        <row r="2">
          <cell r="A2">
            <v>0</v>
          </cell>
          <cell r="B2" t="str">
            <v>まんまる岩</v>
          </cell>
          <cell r="C2">
            <v>1</v>
          </cell>
          <cell r="D2">
            <v>5</v>
          </cell>
          <cell r="E2">
            <v>1</v>
          </cell>
        </row>
        <row r="3">
          <cell r="A3">
            <v>1</v>
          </cell>
          <cell r="B3" t="str">
            <v>木の実</v>
          </cell>
          <cell r="C3">
            <v>1</v>
          </cell>
          <cell r="D3">
            <v>5</v>
          </cell>
          <cell r="E3">
            <v>1</v>
          </cell>
        </row>
        <row r="4">
          <cell r="A4">
            <v>2</v>
          </cell>
          <cell r="B4" t="str">
            <v>木の矢</v>
          </cell>
          <cell r="C4">
            <v>3</v>
          </cell>
          <cell r="D4">
            <v>6</v>
          </cell>
          <cell r="E4">
            <v>1</v>
          </cell>
        </row>
        <row r="5">
          <cell r="A5">
            <v>3</v>
          </cell>
          <cell r="B5" t="str">
            <v>鉄の矢</v>
          </cell>
          <cell r="C5">
            <v>12</v>
          </cell>
          <cell r="D5">
            <v>8</v>
          </cell>
          <cell r="E5">
            <v>1</v>
          </cell>
        </row>
        <row r="6">
          <cell r="A6">
            <v>4</v>
          </cell>
          <cell r="B6" t="str">
            <v>金の矢</v>
          </cell>
          <cell r="C6">
            <v>30</v>
          </cell>
          <cell r="D6">
            <v>10</v>
          </cell>
          <cell r="E6">
            <v>4</v>
          </cell>
        </row>
        <row r="7">
          <cell r="A7">
            <v>5</v>
          </cell>
          <cell r="B7" t="str">
            <v>鉄球</v>
          </cell>
          <cell r="C7">
            <v>20</v>
          </cell>
          <cell r="D7">
            <v>4</v>
          </cell>
          <cell r="E7">
            <v>1</v>
          </cell>
        </row>
        <row r="8">
          <cell r="A8">
            <v>6</v>
          </cell>
          <cell r="B8" t="str">
            <v>とげ鉄球</v>
          </cell>
          <cell r="C8">
            <v>60</v>
          </cell>
          <cell r="D8">
            <v>3</v>
          </cell>
          <cell r="E8">
            <v>1</v>
          </cell>
        </row>
        <row r="9">
          <cell r="A9">
            <v>7</v>
          </cell>
          <cell r="B9" t="str">
            <v>大とげ鉄球</v>
          </cell>
          <cell r="C9">
            <v>150</v>
          </cell>
          <cell r="D9">
            <v>1</v>
          </cell>
          <cell r="E9">
            <v>1</v>
          </cell>
        </row>
        <row r="10">
          <cell r="A10">
            <v>8</v>
          </cell>
          <cell r="B10" t="str">
            <v>ミサイル</v>
          </cell>
          <cell r="C10">
            <v>1</v>
          </cell>
          <cell r="D10">
            <v>5</v>
          </cell>
          <cell r="E10">
            <v>1</v>
          </cell>
        </row>
        <row r="11">
          <cell r="A11">
            <v>9</v>
          </cell>
          <cell r="B11" t="str">
            <v>ロケット</v>
          </cell>
          <cell r="C11">
            <v>1</v>
          </cell>
          <cell r="D11">
            <v>5</v>
          </cell>
          <cell r="E11">
            <v>1</v>
          </cell>
        </row>
        <row r="12">
          <cell r="A12" t="str">
            <v/>
          </cell>
          <cell r="B12"/>
          <cell r="C12"/>
          <cell r="D12"/>
          <cell r="E12"/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A5" sqref="A5"/>
    </sheetView>
  </sheetViews>
  <sheetFormatPr defaultRowHeight="13.5" x14ac:dyDescent="0.15"/>
  <cols>
    <col min="1" max="1" width="7.5" bestFit="1" customWidth="1"/>
    <col min="2" max="2" width="8.75" bestFit="1" customWidth="1"/>
    <col min="3" max="3" width="6.5" bestFit="1" customWidth="1"/>
    <col min="4" max="4" width="9" bestFit="1" customWidth="1"/>
    <col min="5" max="5" width="10.25" bestFit="1" customWidth="1"/>
    <col min="6" max="6" width="6.5" bestFit="1" customWidth="1"/>
    <col min="7" max="7" width="6.375" bestFit="1" customWidth="1"/>
    <col min="8" max="8" width="9.875" bestFit="1" customWidth="1"/>
    <col min="9" max="9" width="4.75" bestFit="1" customWidth="1"/>
    <col min="10" max="10" width="5" bestFit="1" customWidth="1"/>
    <col min="11" max="11" width="14.625" bestFit="1" customWidth="1"/>
    <col min="12" max="12" width="11.625" bestFit="1" customWidth="1"/>
  </cols>
  <sheetData>
    <row r="1" spans="1:11" x14ac:dyDescent="0.15">
      <c r="A1" s="1" t="s">
        <v>0</v>
      </c>
      <c r="B1" s="1" t="s">
        <v>1</v>
      </c>
      <c r="C1" s="1" t="s">
        <v>2</v>
      </c>
      <c r="D1" s="2"/>
      <c r="E1" s="1" t="str">
        <f>[1]array!B1</f>
        <v>""Name</v>
      </c>
      <c r="F1" s="1" t="str">
        <f>[1]array!C1</f>
        <v>Power</v>
      </c>
      <c r="G1" s="1" t="str">
        <f>[1]array!D1</f>
        <v>Speed</v>
      </c>
      <c r="H1" s="1" t="str">
        <f>[1]array!E1</f>
        <v>Endurance</v>
      </c>
    </row>
    <row r="2" spans="1:11" x14ac:dyDescent="0.15">
      <c r="A2" s="1">
        <v>2</v>
      </c>
      <c r="B2" s="1">
        <v>30</v>
      </c>
      <c r="C2" s="1">
        <v>10</v>
      </c>
      <c r="D2" s="2"/>
      <c r="E2" s="1" t="str">
        <f>IF(ISERROR(VLOOKUP($A2,[1]array!$A$2:$E$12,2,FALSE)),$K$2,VLOOKUP($A2,[1]array!$A$2:$E$12,2,FALSE))</f>
        <v>木の矢</v>
      </c>
      <c r="F2" s="1">
        <f>IF(ISERROR(VLOOKUP($A2,[1]array!$A$2:$E$12,3,FALSE)),$K$2,VLOOKUP($A2,[1]array!$A$2:$E$12,3,FALSE))</f>
        <v>3</v>
      </c>
      <c r="G2" s="1">
        <f>IF(ISERROR(VLOOKUP($A2,[1]array!$A$2:$E$12,4,FALSE)),$K$2,VLOOKUP($A2,[1]array!$A$2:$E$12,4,FALSE))</f>
        <v>6</v>
      </c>
      <c r="H2" s="1">
        <f>IF(ISERROR(VLOOKUP($A2,[1]array!$A$2:$E$12,5,FALSE)),$K$2,VLOOKUP($A2,[1]array!$A$2:$E$12,5,FALSE))</f>
        <v>1</v>
      </c>
      <c r="K2" t="s">
        <v>3</v>
      </c>
    </row>
    <row r="3" spans="1:11" x14ac:dyDescent="0.15">
      <c r="A3" s="1">
        <v>3</v>
      </c>
      <c r="B3" s="1">
        <v>0</v>
      </c>
      <c r="C3" s="1">
        <v>-1</v>
      </c>
      <c r="D3" s="2"/>
      <c r="E3" s="1" t="str">
        <f>IF(ISERROR(VLOOKUP($A3,[1]array!$A$2:$E$12,2,FALSE)),$K$2,VLOOKUP($A3,[1]array!$A$2:$E$12,2,FALSE))</f>
        <v>鉄の矢</v>
      </c>
      <c r="F3" s="1">
        <f>IF(ISERROR(VLOOKUP($A3,[1]array!$A$2:$E$12,3,FALSE)),$K$2,VLOOKUP($A3,[1]array!$A$2:$E$12,3,FALSE))</f>
        <v>12</v>
      </c>
      <c r="G3" s="1">
        <f>IF(ISERROR(VLOOKUP($A3,[1]array!$A$2:$E$12,4,FALSE)),$K$2,VLOOKUP($A3,[1]array!$A$2:$E$12,4,FALSE))</f>
        <v>8</v>
      </c>
      <c r="H3" s="1">
        <f>IF(ISERROR(VLOOKUP($A3,[1]array!$A$2:$E$12,5,FALSE)),$K$2,VLOOKUP($A3,[1]array!$A$2:$E$12,5,FALSE))</f>
        <v>1</v>
      </c>
    </row>
    <row r="4" spans="1:11" x14ac:dyDescent="0.15">
      <c r="A4" s="1">
        <v>4</v>
      </c>
      <c r="B4" s="1">
        <v>0</v>
      </c>
      <c r="C4" s="1">
        <v>-1</v>
      </c>
      <c r="D4" s="2"/>
      <c r="E4" s="1" t="str">
        <f>IF(ISERROR(VLOOKUP($A4,[1]array!$A$2:$E$12,2,FALSE)),$K$2,VLOOKUP($A4,[1]array!$A$2:$E$12,2,FALSE))</f>
        <v>金の矢</v>
      </c>
      <c r="F4" s="1">
        <f>IF(ISERROR(VLOOKUP($A4,[1]array!$A$2:$E$12,3,FALSE)),$K$2,VLOOKUP($A4,[1]array!$A$2:$E$12,3,FALSE))</f>
        <v>30</v>
      </c>
      <c r="G4" s="1">
        <f>IF(ISERROR(VLOOKUP($A4,[1]array!$A$2:$E$12,4,FALSE)),$K$2,VLOOKUP($A4,[1]array!$A$2:$E$12,4,FALSE))</f>
        <v>10</v>
      </c>
      <c r="H4" s="1">
        <f>IF(ISERROR(VLOOKUP($A4,[1]array!$A$2:$E$12,5,FALSE)),$K$2,VLOOKUP($A4,[1]array!$A$2:$E$12,5,FALSE))</f>
        <v>4</v>
      </c>
    </row>
    <row r="5" spans="1:11" x14ac:dyDescent="0.15">
      <c r="A5" s="1">
        <v>5</v>
      </c>
      <c r="B5" s="1">
        <v>30</v>
      </c>
      <c r="C5" s="1">
        <v>10</v>
      </c>
      <c r="D5" s="2"/>
      <c r="E5" s="1" t="str">
        <f>IF(ISERROR(VLOOKUP($A5,[1]array!$A$2:$E$12,2,FALSE)),$K$2,VLOOKUP($A5,[1]array!$A$2:$E$12,2,FALSE))</f>
        <v>鉄球</v>
      </c>
      <c r="F5" s="1">
        <f>IF(ISERROR(VLOOKUP($A5,[1]array!$A$2:$E$12,3,FALSE)),$K$2,VLOOKUP($A5,[1]array!$A$2:$E$12,3,FALSE))</f>
        <v>20</v>
      </c>
      <c r="G5" s="1">
        <f>IF(ISERROR(VLOOKUP($A5,[1]array!$A$2:$E$12,4,FALSE)),$K$2,VLOOKUP($A5,[1]array!$A$2:$E$12,4,FALSE))</f>
        <v>4</v>
      </c>
      <c r="H5" s="1">
        <f>IF(ISERROR(VLOOKUP($A5,[1]array!$A$2:$E$12,5,FALSE)),$K$2,VLOOKUP($A5,[1]array!$A$2:$E$12,5,FALSE))</f>
        <v>1</v>
      </c>
    </row>
    <row r="6" spans="1:11" x14ac:dyDescent="0.15">
      <c r="A6" s="1">
        <v>6</v>
      </c>
      <c r="B6" s="1">
        <v>0</v>
      </c>
      <c r="C6" s="1">
        <v>-1</v>
      </c>
      <c r="D6" s="2"/>
      <c r="E6" s="1" t="str">
        <f>IF(ISERROR(VLOOKUP($A6,[1]array!$A$2:$E$12,2,FALSE)),$K$2,VLOOKUP($A6,[1]array!$A$2:$E$12,2,FALSE))</f>
        <v>とげ鉄球</v>
      </c>
      <c r="F6" s="1">
        <f>IF(ISERROR(VLOOKUP($A6,[1]array!$A$2:$E$12,3,FALSE)),$K$2,VLOOKUP($A6,[1]array!$A$2:$E$12,3,FALSE))</f>
        <v>60</v>
      </c>
      <c r="G6" s="1">
        <f>IF(ISERROR(VLOOKUP($A6,[1]array!$A$2:$E$12,4,FALSE)),$K$2,VLOOKUP($A6,[1]array!$A$2:$E$12,4,FALSE))</f>
        <v>3</v>
      </c>
      <c r="H6" s="1">
        <f>IF(ISERROR(VLOOKUP($A6,[1]array!$A$2:$E$12,5,FALSE)),$K$2,VLOOKUP($A6,[1]array!$A$2:$E$12,5,FALSE))</f>
        <v>1</v>
      </c>
    </row>
    <row r="7" spans="1:11" x14ac:dyDescent="0.15">
      <c r="A7" s="1">
        <v>7</v>
      </c>
      <c r="B7" s="1">
        <v>0</v>
      </c>
      <c r="C7" s="1">
        <v>-1</v>
      </c>
      <c r="D7" s="2"/>
      <c r="E7" s="1" t="str">
        <f>IF(ISERROR(VLOOKUP($A7,[1]array!$A$2:$E$12,2,FALSE)),$K$2,VLOOKUP($A7,[1]array!$A$2:$E$12,2,FALSE))</f>
        <v>大とげ鉄球</v>
      </c>
      <c r="F7" s="1">
        <f>IF(ISERROR(VLOOKUP($A7,[1]array!$A$2:$E$12,3,FALSE)),$K$2,VLOOKUP($A7,[1]array!$A$2:$E$12,3,FALSE))</f>
        <v>150</v>
      </c>
      <c r="G7" s="1">
        <f>IF(ISERROR(VLOOKUP($A7,[1]array!$A$2:$E$12,4,FALSE)),$K$2,VLOOKUP($A7,[1]array!$A$2:$E$12,4,FALSE))</f>
        <v>1</v>
      </c>
      <c r="H7" s="1">
        <f>IF(ISERROR(VLOOKUP($A7,[1]array!$A$2:$E$12,5,FALSE)),$K$2,VLOOKUP($A7,[1]array!$A$2:$E$12,5,FALSE))</f>
        <v>1</v>
      </c>
    </row>
    <row r="8" spans="1:11" x14ac:dyDescent="0.15">
      <c r="A8" s="1">
        <v>8</v>
      </c>
      <c r="B8" s="1">
        <v>30</v>
      </c>
      <c r="C8" s="1">
        <v>10</v>
      </c>
      <c r="D8" s="2"/>
      <c r="E8" s="1" t="str">
        <f>IF(ISERROR(VLOOKUP($A8,[1]array!$A$2:$E$12,2,FALSE)),$K$2,VLOOKUP($A8,[1]array!$A$2:$E$12,2,FALSE))</f>
        <v>ミサイル</v>
      </c>
      <c r="F8" s="1">
        <f>IF(ISERROR(VLOOKUP($A8,[1]array!$A$2:$E$12,3,FALSE)),$K$2,VLOOKUP($A8,[1]array!$A$2:$E$12,3,FALSE))</f>
        <v>1</v>
      </c>
      <c r="G8" s="1">
        <f>IF(ISERROR(VLOOKUP($A8,[1]array!$A$2:$E$12,4,FALSE)),$K$2,VLOOKUP($A8,[1]array!$A$2:$E$12,4,FALSE))</f>
        <v>5</v>
      </c>
      <c r="H8" s="1">
        <f>IF(ISERROR(VLOOKUP($A8,[1]array!$A$2:$E$12,5,FALSE)),$K$2,VLOOKUP($A8,[1]array!$A$2:$E$12,5,FALSE))</f>
        <v>1</v>
      </c>
    </row>
    <row r="9" spans="1:11" x14ac:dyDescent="0.15">
      <c r="A9" s="1">
        <v>9</v>
      </c>
      <c r="B9" s="1">
        <v>0</v>
      </c>
      <c r="C9" s="1">
        <v>-1</v>
      </c>
      <c r="D9" s="2"/>
      <c r="E9" s="1" t="str">
        <f>IF(ISERROR(VLOOKUP($A9,[1]array!$A$2:$E$12,2,FALSE)),$K$2,VLOOKUP($A9,[1]array!$A$2:$E$12,2,FALSE))</f>
        <v>ロケット</v>
      </c>
      <c r="F9" s="1">
        <f>IF(ISERROR(VLOOKUP($A9,[1]array!$A$2:$E$12,3,FALSE)),$K$2,VLOOKUP($A9,[1]array!$A$2:$E$12,3,FALSE))</f>
        <v>1</v>
      </c>
      <c r="G9" s="1">
        <f>IF(ISERROR(VLOOKUP($A9,[1]array!$A$2:$E$12,4,FALSE)),$K$2,VLOOKUP($A9,[1]array!$A$2:$E$12,4,FALSE))</f>
        <v>5</v>
      </c>
      <c r="H9" s="1">
        <f>IF(ISERROR(VLOOKUP($A9,[1]array!$A$2:$E$12,5,FALSE)),$K$2,VLOOKUP($A9,[1]array!$A$2:$E$12,5,FALSE))</f>
        <v>1</v>
      </c>
    </row>
    <row r="10" spans="1:11" x14ac:dyDescent="0.15">
      <c r="A10" s="1">
        <v>10</v>
      </c>
      <c r="B10" s="1">
        <v>1</v>
      </c>
      <c r="C10" s="1">
        <v>-1</v>
      </c>
      <c r="D10" s="2"/>
      <c r="E10" s="1" t="str">
        <f>IF(ISERROR(VLOOKUP($A10,[1]array!$A$2:$E$12,2,FALSE)),$K$2,VLOOKUP($A10,[1]array!$A$2:$E$12,2,FALSE))</f>
        <v>none</v>
      </c>
      <c r="F10" s="1" t="str">
        <f>IF(ISERROR(VLOOKUP($A10,[1]array!$A$2:$E$12,3,FALSE)),$K$2,VLOOKUP($A10,[1]array!$A$2:$E$12,3,FALSE))</f>
        <v>none</v>
      </c>
      <c r="G10" s="1" t="str">
        <f>IF(ISERROR(VLOOKUP($A10,[1]array!$A$2:$E$12,4,FALSE)),$K$2,VLOOKUP($A10,[1]array!$A$2:$E$12,4,FALSE))</f>
        <v>none</v>
      </c>
      <c r="H10" s="1" t="str">
        <f>IF(ISERROR(VLOOKUP($A10,[1]array!$A$2:$E$12,5,FALSE)),$K$2,VLOOKUP($A10,[1]array!$A$2:$E$12,5,FALSE))</f>
        <v>none</v>
      </c>
    </row>
    <row r="11" spans="1:11" x14ac:dyDescent="0.15">
      <c r="A11" s="1">
        <v>11</v>
      </c>
      <c r="B11" s="1">
        <v>1</v>
      </c>
      <c r="C11" s="1">
        <v>-1</v>
      </c>
      <c r="D11" s="2"/>
      <c r="E11" s="1" t="str">
        <f>IF(ISERROR(VLOOKUP($A11,[1]array!$A$2:$E$12,2,FALSE)),$K$2,VLOOKUP($A11,[1]array!$A$2:$E$12,2,FALSE))</f>
        <v>none</v>
      </c>
      <c r="F11" s="1" t="str">
        <f>IF(ISERROR(VLOOKUP($A11,[1]array!$A$2:$E$12,3,FALSE)),$K$2,VLOOKUP($A11,[1]array!$A$2:$E$12,3,FALSE))</f>
        <v>none</v>
      </c>
      <c r="G11" s="1" t="str">
        <f>IF(ISERROR(VLOOKUP($A11,[1]array!$A$2:$E$12,4,FALSE)),$K$2,VLOOKUP($A11,[1]array!$A$2:$E$12,4,FALSE))</f>
        <v>none</v>
      </c>
      <c r="H11" s="1" t="str">
        <f>IF(ISERROR(VLOOKUP($A11,[1]array!$A$2:$E$12,5,FALSE)),$K$2,VLOOKUP($A11,[1]array!$A$2:$E$12,5,FALSE))</f>
        <v>none</v>
      </c>
    </row>
    <row r="12" spans="1:11" x14ac:dyDescent="0.15">
      <c r="A12" s="1">
        <v>12</v>
      </c>
      <c r="B12" s="1">
        <v>1</v>
      </c>
      <c r="C12" s="1">
        <v>-1</v>
      </c>
      <c r="D12" s="2"/>
      <c r="E12" s="1" t="str">
        <f>IF(ISERROR(VLOOKUP($A12,[1]array!$A$2:$E$12,2,FALSE)),$K$2,VLOOKUP($A12,[1]array!$A$2:$E$12,2,FALSE))</f>
        <v>none</v>
      </c>
      <c r="F12" s="1" t="str">
        <f>IF(ISERROR(VLOOKUP($A12,[1]array!$A$2:$E$12,3,FALSE)),$K$2,VLOOKUP($A12,[1]array!$A$2:$E$12,3,FALSE))</f>
        <v>none</v>
      </c>
      <c r="G12" s="1" t="str">
        <f>IF(ISERROR(VLOOKUP($A12,[1]array!$A$2:$E$12,4,FALSE)),$K$2,VLOOKUP($A12,[1]array!$A$2:$E$12,4,FALSE))</f>
        <v>none</v>
      </c>
      <c r="H12" s="1" t="str">
        <f>IF(ISERROR(VLOOKUP($A12,[1]array!$A$2:$E$12,5,FALSE)),$K$2,VLOOKUP($A12,[1]array!$A$2:$E$12,5,FALSE))</f>
        <v>none</v>
      </c>
    </row>
    <row r="13" spans="1:11" x14ac:dyDescent="0.15">
      <c r="D13" s="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array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2017-08-30T00:56:16Z</dcterms:modified>
</cp:coreProperties>
</file>